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Q1\Documents\"/>
    </mc:Choice>
  </mc:AlternateContent>
  <bookViews>
    <workbookView xWindow="0" yWindow="0" windowWidth="28800" windowHeight="11700" activeTab="1"/>
  </bookViews>
  <sheets>
    <sheet name="Sheet2" sheetId="7" r:id="rId1"/>
    <sheet name="Sheet1" sheetId="1" r:id="rId2"/>
  </sheets>
  <calcPr calcId="162913"/>
  <pivotCaches>
    <pivotCache cacheId="0" r:id="rId3"/>
    <pivotCache cacheId="17" r:id="rId4"/>
  </pivotCaches>
  <fileRecoveryPr repairLoad="1"/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G17" i="1"/>
  <c r="G16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</calcChain>
</file>

<file path=xl/sharedStrings.xml><?xml version="1.0" encoding="utf-8"?>
<sst xmlns="http://schemas.openxmlformats.org/spreadsheetml/2006/main" count="53" uniqueCount="30">
  <si>
    <t>SNO</t>
  </si>
  <si>
    <t>ID</t>
  </si>
  <si>
    <t>ITEMS</t>
  </si>
  <si>
    <t>CATEGORY</t>
  </si>
  <si>
    <t>PRICE</t>
  </si>
  <si>
    <t>QUANTITY</t>
  </si>
  <si>
    <t>TOTAL PRICE</t>
  </si>
  <si>
    <t>STATUS</t>
  </si>
  <si>
    <t>KEYBOARD</t>
  </si>
  <si>
    <t>ELECTRONICS</t>
  </si>
  <si>
    <t>MOUSE</t>
  </si>
  <si>
    <t>HD</t>
  </si>
  <si>
    <t>CPU</t>
  </si>
  <si>
    <t>MONITOR</t>
  </si>
  <si>
    <t>TOTAL SUM</t>
  </si>
  <si>
    <t>AVERAGE</t>
  </si>
  <si>
    <t>MINIMUM</t>
  </si>
  <si>
    <t>MAXIMUM</t>
  </si>
  <si>
    <t>COUNT</t>
  </si>
  <si>
    <t>COUNTIF</t>
  </si>
  <si>
    <t>SUMIF</t>
  </si>
  <si>
    <t>VLOOKUP</t>
  </si>
  <si>
    <t>Column1</t>
  </si>
  <si>
    <t>Column2</t>
  </si>
  <si>
    <t>Grand Total</t>
  </si>
  <si>
    <t>Row Labels</t>
  </si>
  <si>
    <t>Sum of PRICE</t>
  </si>
  <si>
    <t>Sum of TOTAL PRICE</t>
  </si>
  <si>
    <t>HIGH</t>
  </si>
  <si>
    <t>Sum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</si>
</sst>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0"/>
      <name val="Arial Black"/>
      <charset val="134"/>
    </font>
    <font>
      <sz val="11"/>
      <color theme="1"/>
      <name val="Bahnschrift SemiBold SemiConden"/>
      <charset val="134"/>
    </font>
    <font>
      <sz val="11"/>
      <color rgb="FF006100"/>
      <name val="Calibri"/>
      <scheme val="minor"/>
    </font>
    <font>
      <sz val="11"/>
      <color rgb="FF9C0006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/>
    <xf numFmtId="0" fontId="3" fillId="3" borderId="1" xfId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4" borderId="3" xfId="2" applyBorder="1" applyAlignment="1">
      <alignment horizontal="center"/>
    </xf>
    <xf numFmtId="0" fontId="3" fillId="3" borderId="3" xfId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3" borderId="9" xfId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3">
    <cellStyle name="Bad" xfId="2" builtinId="27"/>
    <cellStyle name="Good" xfId="1" builtinId="26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Black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Black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PROJECT.xlsx]Sheet2!PivotTable13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ID by ITEMS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Sheet2!$A$4:$A$8</c:f>
              <c:strCache>
                <c:ptCount val="5"/>
                <c:pt idx="0">
                  <c:v>CPU</c:v>
                </c:pt>
                <c:pt idx="1">
                  <c:v>HD</c:v>
                </c:pt>
                <c:pt idx="2">
                  <c:v>KEYBOARD</c:v>
                </c:pt>
                <c:pt idx="3">
                  <c:v>MONITOR</c:v>
                </c:pt>
                <c:pt idx="4">
                  <c:v>MOUSE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504</c:v>
                </c:pt>
                <c:pt idx="1">
                  <c:v>503</c:v>
                </c:pt>
                <c:pt idx="2">
                  <c:v>1514</c:v>
                </c:pt>
                <c:pt idx="3">
                  <c:v>505</c:v>
                </c:pt>
                <c:pt idx="4">
                  <c:v>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1-4D63-BE97-030150649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3147840"/>
        <c:axId val="2063152000"/>
      </c:barChart>
      <c:catAx>
        <c:axId val="20631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52000"/>
        <c:crosses val="autoZero"/>
        <c:auto val="1"/>
        <c:lblAlgn val="ctr"/>
        <c:lblOffset val="100"/>
        <c:noMultiLvlLbl val="0"/>
      </c:catAx>
      <c:valAx>
        <c:axId val="206315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4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552450</xdr:colOff>
      <xdr:row>10</xdr:row>
      <xdr:rowOff>114300</xdr:rowOff>
    </xdr:from>
    <xdr:to>
      <xdr:col>18</xdr:col>
      <xdr:colOff>247650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6194.593790046296" createdVersion="6" refreshedVersion="6" minRefreshableVersion="3" recordCount="10">
  <cacheSource type="worksheet">
    <worksheetSource ref="A4:H14" sheet="Sheet1"/>
  </cacheSource>
  <cacheFields count="8">
    <cacheField name="SNO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ID" numFmtId="0">
      <sharedItems containsSemiMixedTypes="0" containsString="0" containsNumber="1" containsInteger="1" minValue="501" maxValue="510" count="10">
        <n v="501"/>
        <n v="502"/>
        <n v="503"/>
        <n v="504"/>
        <n v="505"/>
        <n v="506"/>
        <n v="507"/>
        <n v="508"/>
        <n v="509"/>
        <n v="510"/>
      </sharedItems>
    </cacheField>
    <cacheField name="ITEMS" numFmtId="0">
      <sharedItems count="5">
        <s v="KEYBOARD"/>
        <s v="MOUSE"/>
        <s v="HD"/>
        <s v="CPU"/>
        <s v="MONITOR"/>
      </sharedItems>
    </cacheField>
    <cacheField name="CATEGORY" numFmtId="0">
      <sharedItems count="1">
        <s v="ELECTRONICS"/>
      </sharedItems>
    </cacheField>
    <cacheField name="PRICE" numFmtId="0">
      <sharedItems containsSemiMixedTypes="0" containsString="0" containsNumber="1" containsInteger="1" minValue="3000" maxValue="65000" count="10">
        <n v="6000"/>
        <n v="10000"/>
        <n v="9000"/>
        <n v="65000"/>
        <n v="44000"/>
        <n v="3000"/>
        <n v="20000"/>
        <n v="47000"/>
        <n v="50000"/>
        <n v="25000"/>
      </sharedItems>
    </cacheField>
    <cacheField name="QUANTITY" numFmtId="0">
      <sharedItems containsSemiMixedTypes="0" containsString="0" containsNumber="1" containsInteger="1" minValue="2" maxValue="30"/>
    </cacheField>
    <cacheField name="TOTAL PRICE" numFmtId="0">
      <sharedItems containsSemiMixedTypes="0" containsString="0" containsNumber="1" containsInteger="1" minValue="9000" maxValue="1000000"/>
    </cacheField>
    <cacheField name="STATUS" numFmtId="0">
      <sharedItems count="2">
        <s v="STANDARD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Q1" refreshedDate="46194.610007986113" createdVersion="6" refreshedVersion="6" minRefreshableVersion="3" recordCount="9">
  <cacheSource type="worksheet">
    <worksheetSource name="Table1"/>
  </cacheSource>
  <cacheFields count="8">
    <cacheField name="SNO" numFmtId="0">
      <sharedItems containsSemiMixedTypes="0" containsString="0" containsNumber="1" containsInteger="1" minValue="1" maxValue="9"/>
    </cacheField>
    <cacheField name="ID" numFmtId="0">
      <sharedItems containsSemiMixedTypes="0" containsString="0" containsNumber="1" containsInteger="1" minValue="501" maxValue="509"/>
    </cacheField>
    <cacheField name="ITEMS" numFmtId="0">
      <sharedItems count="5">
        <s v="KEYBOARD"/>
        <s v="MOUSE"/>
        <s v="HD"/>
        <s v="CPU"/>
        <s v="MONITOR"/>
      </sharedItems>
    </cacheField>
    <cacheField name="CATEGORY" numFmtId="0">
      <sharedItems/>
    </cacheField>
    <cacheField name="PRICE" numFmtId="0">
      <sharedItems containsSemiMixedTypes="0" containsString="0" containsNumber="1" containsInteger="1" minValue="3000" maxValue="65000"/>
    </cacheField>
    <cacheField name="QUANTITY" numFmtId="0">
      <sharedItems containsSemiMixedTypes="0" containsString="0" containsNumber="1" containsInteger="1" minValue="2" maxValue="20"/>
    </cacheField>
    <cacheField name="TOTAL PRICE" numFmtId="0">
      <sharedItems containsSemiMixedTypes="0" containsString="0" containsNumber="1" containsInteger="1" minValue="9000" maxValue="1000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n v="4"/>
    <n v="24000"/>
    <x v="0"/>
  </r>
  <r>
    <x v="1"/>
    <x v="1"/>
    <x v="1"/>
    <x v="0"/>
    <x v="1"/>
    <n v="7"/>
    <n v="70000"/>
    <x v="1"/>
  </r>
  <r>
    <x v="2"/>
    <x v="2"/>
    <x v="2"/>
    <x v="0"/>
    <x v="2"/>
    <n v="8"/>
    <n v="72000"/>
    <x v="1"/>
  </r>
  <r>
    <x v="3"/>
    <x v="3"/>
    <x v="3"/>
    <x v="0"/>
    <x v="3"/>
    <n v="4"/>
    <n v="260000"/>
    <x v="1"/>
  </r>
  <r>
    <x v="4"/>
    <x v="4"/>
    <x v="4"/>
    <x v="0"/>
    <x v="4"/>
    <n v="2"/>
    <n v="88000"/>
    <x v="1"/>
  </r>
  <r>
    <x v="5"/>
    <x v="5"/>
    <x v="0"/>
    <x v="0"/>
    <x v="5"/>
    <n v="3"/>
    <n v="9000"/>
    <x v="0"/>
  </r>
  <r>
    <x v="6"/>
    <x v="6"/>
    <x v="0"/>
    <x v="0"/>
    <x v="6"/>
    <n v="10"/>
    <n v="200000"/>
    <x v="1"/>
  </r>
  <r>
    <x v="7"/>
    <x v="7"/>
    <x v="1"/>
    <x v="0"/>
    <x v="7"/>
    <n v="15"/>
    <n v="705000"/>
    <x v="1"/>
  </r>
  <r>
    <x v="8"/>
    <x v="8"/>
    <x v="1"/>
    <x v="0"/>
    <x v="8"/>
    <n v="20"/>
    <n v="1000000"/>
    <x v="1"/>
  </r>
  <r>
    <x v="9"/>
    <x v="9"/>
    <x v="3"/>
    <x v="0"/>
    <x v="9"/>
    <n v="30"/>
    <n v="7500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n v="1"/>
    <n v="501"/>
    <x v="0"/>
    <s v="ELECTRONICS"/>
    <n v="6000"/>
    <n v="4"/>
    <n v="24000"/>
    <s v="STANDARD"/>
  </r>
  <r>
    <n v="2"/>
    <n v="502"/>
    <x v="1"/>
    <s v="ELECTRONICS"/>
    <n v="10000"/>
    <n v="7"/>
    <n v="70000"/>
    <s v="HIGH"/>
  </r>
  <r>
    <n v="3"/>
    <n v="503"/>
    <x v="2"/>
    <s v="ELECTRONICS"/>
    <n v="9000"/>
    <n v="8"/>
    <n v="72000"/>
    <s v="HIGH"/>
  </r>
  <r>
    <n v="4"/>
    <n v="504"/>
    <x v="3"/>
    <s v="ELECTRONICS"/>
    <n v="65000"/>
    <n v="4"/>
    <n v="260000"/>
    <s v="HIGH"/>
  </r>
  <r>
    <n v="5"/>
    <n v="505"/>
    <x v="4"/>
    <s v="ELECTRONICS"/>
    <n v="44000"/>
    <n v="2"/>
    <n v="88000"/>
    <s v="HIGH"/>
  </r>
  <r>
    <n v="6"/>
    <n v="506"/>
    <x v="0"/>
    <s v="ELECTRONICS"/>
    <n v="3000"/>
    <n v="3"/>
    <n v="9000"/>
    <s v="STANDARD"/>
  </r>
  <r>
    <n v="7"/>
    <n v="507"/>
    <x v="0"/>
    <s v="ELECTRONICS"/>
    <n v="20000"/>
    <n v="10"/>
    <n v="200000"/>
    <s v="HIGH"/>
  </r>
  <r>
    <n v="8"/>
    <n v="508"/>
    <x v="1"/>
    <s v="ELECTRONICS"/>
    <n v="47000"/>
    <n v="15"/>
    <n v="705000"/>
    <s v="HIGH"/>
  </r>
  <r>
    <n v="9"/>
    <n v="509"/>
    <x v="1"/>
    <s v="ELECTRONICS"/>
    <n v="50000"/>
    <n v="20"/>
    <n v="1000000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1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8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2"/>
        <item x="0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ID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L14:N21" firstHeaderRow="0" firstDataRow="1" firstDataCol="1" rowPageCount="2" colPageCount="1"/>
  <pivotFields count="8">
    <pivotField axis="axisRow" multipleItemSelectionAllowed="1" showAll="0" sortType="ascending">
      <items count="11">
        <item h="1" x="0"/>
        <item x="1"/>
        <item h="1" x="2"/>
        <item h="1" x="3"/>
        <item h="1" x="4"/>
        <item h="1" x="5"/>
        <item h="1" x="6"/>
        <item x="7"/>
        <item x="8"/>
        <item h="1" x="9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6">
        <item x="3"/>
        <item x="2"/>
        <item x="0"/>
        <item x="4"/>
        <item x="1"/>
        <item t="default"/>
      </items>
    </pivotField>
    <pivotField showAll="0">
      <items count="2">
        <item x="0"/>
        <item t="default"/>
      </items>
    </pivotField>
    <pivotField dataField="1" showAll="0">
      <items count="11">
        <item x="5"/>
        <item x="0"/>
        <item x="2"/>
        <item x="1"/>
        <item x="6"/>
        <item x="9"/>
        <item x="4"/>
        <item x="7"/>
        <item x="8"/>
        <item x="3"/>
        <item t="default"/>
      </items>
    </pivotField>
    <pivotField showAll="0"/>
    <pivotField dataField="1" showAll="0"/>
    <pivotField axis="axisPage" showAll="0">
      <items count="3">
        <item x="1"/>
        <item x="0"/>
        <item t="default"/>
      </items>
    </pivotField>
  </pivotFields>
  <rowFields count="2">
    <field x="0"/>
    <field x="1"/>
  </rowFields>
  <rowItems count="7">
    <i>
      <x v="1"/>
    </i>
    <i r="1">
      <x v="1"/>
    </i>
    <i>
      <x v="7"/>
    </i>
    <i r="1">
      <x v="7"/>
    </i>
    <i>
      <x v="8"/>
    </i>
    <i r="1"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2" item="4" hier="-1"/>
    <pageField fld="7" item="0" hier="-1"/>
  </pageFields>
  <dataFields count="2">
    <dataField name="Sum of PRICE" fld="4" baseField="0" baseItem="0"/>
    <dataField name="Sum of TOTAL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4:H13" totalsRowShown="0" headerRowDxfId="17" dataDxfId="15" headerRowBorderDxfId="16" tableBorderDxfId="14" totalsRowBorderDxfId="13">
  <autoFilter ref="A4:H13"/>
  <tableColumns count="8">
    <tableColumn id="1" name="SNO" dataDxfId="12"/>
    <tableColumn id="2" name="ID" dataDxfId="11"/>
    <tableColumn id="3" name="ITEMS" dataDxfId="10"/>
    <tableColumn id="4" name="CATEGORY" dataDxfId="9"/>
    <tableColumn id="5" name="PRICE" dataDxfId="8"/>
    <tableColumn id="6" name="QUANTITY" dataDxfId="7"/>
    <tableColumn id="7" name="TOTAL PRICE" dataDxfId="6">
      <calculatedColumnFormula>E5*F5</calculatedColumnFormula>
    </tableColumn>
    <tableColumn id="8" name="STATUS" dataDxfId="5" dataCellStyle="Good">
      <calculatedColumnFormula>IF(G5&gt;50000,"HIGH","STANDARD")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5:G23" totalsRowShown="0" headerRowBorderDxfId="4" tableBorderDxfId="3" totalsRowBorderDxfId="2">
  <autoFilter ref="F15:G23"/>
  <tableColumns count="2">
    <tableColumn id="1" name="Column1" dataDxfId="1"/>
    <tableColumn id="2" name="Column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N27" sqref="N27"/>
    </sheetView>
  </sheetViews>
  <sheetFormatPr defaultRowHeight="15"/>
  <cols>
    <col min="1" max="1" width="10.42578125" bestFit="1" customWidth="1"/>
    <col min="2" max="2" width="9.42578125" bestFit="1" customWidth="1"/>
  </cols>
  <sheetData>
    <row r="3" spans="1:2">
      <c r="A3" s="21" t="s">
        <v>2</v>
      </c>
      <c r="B3" t="s">
        <v>29</v>
      </c>
    </row>
    <row r="4" spans="1:2">
      <c r="A4" t="s">
        <v>12</v>
      </c>
      <c r="B4" s="24">
        <v>504</v>
      </c>
    </row>
    <row r="5" spans="1:2">
      <c r="A5" t="s">
        <v>11</v>
      </c>
      <c r="B5" s="24">
        <v>503</v>
      </c>
    </row>
    <row r="6" spans="1:2">
      <c r="A6" t="s">
        <v>8</v>
      </c>
      <c r="B6" s="24">
        <v>1514</v>
      </c>
    </row>
    <row r="7" spans="1:2">
      <c r="A7" t="s">
        <v>13</v>
      </c>
      <c r="B7" s="24">
        <v>505</v>
      </c>
    </row>
    <row r="8" spans="1:2">
      <c r="A8" t="s">
        <v>10</v>
      </c>
      <c r="B8" s="24">
        <v>1519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23"/>
  <sheetViews>
    <sheetView tabSelected="1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A4" sqref="A4:H14"/>
    </sheetView>
  </sheetViews>
  <sheetFormatPr defaultColWidth="9" defaultRowHeight="15"/>
  <cols>
    <col min="3" max="3" width="11.7109375" customWidth="1"/>
    <col min="4" max="4" width="16.85546875" customWidth="1"/>
    <col min="5" max="5" width="10.5703125" customWidth="1"/>
    <col min="6" max="6" width="16.140625" customWidth="1"/>
    <col min="7" max="7" width="19.42578125" customWidth="1"/>
    <col min="8" max="8" width="13" customWidth="1"/>
    <col min="12" max="12" width="13.140625" customWidth="1"/>
    <col min="13" max="13" width="12.5703125" customWidth="1"/>
    <col min="14" max="14" width="18.85546875" customWidth="1"/>
    <col min="15" max="15" width="6" customWidth="1"/>
    <col min="16" max="16" width="11.28515625" customWidth="1"/>
    <col min="17" max="18" width="16.28515625" customWidth="1"/>
    <col min="19" max="19" width="11.28515625" customWidth="1"/>
    <col min="20" max="21" width="16.28515625" customWidth="1"/>
    <col min="22" max="22" width="11.28515625" customWidth="1"/>
    <col min="23" max="23" width="8.85546875" customWidth="1"/>
    <col min="24" max="24" width="5.85546875" customWidth="1"/>
    <col min="25" max="25" width="8.85546875" customWidth="1"/>
    <col min="26" max="26" width="5.85546875" customWidth="1"/>
    <col min="27" max="27" width="8.85546875" customWidth="1"/>
    <col min="28" max="28" width="5.85546875" customWidth="1"/>
    <col min="29" max="29" width="8.85546875" customWidth="1"/>
    <col min="30" max="30" width="5.85546875" customWidth="1"/>
    <col min="31" max="31" width="8.85546875" customWidth="1"/>
    <col min="32" max="32" width="11.28515625" bestFit="1" customWidth="1"/>
  </cols>
  <sheetData>
    <row r="4" spans="1:14" ht="18.75">
      <c r="A4" s="9" t="s">
        <v>0</v>
      </c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2" t="s">
        <v>7</v>
      </c>
    </row>
    <row r="5" spans="1:14">
      <c r="A5" s="6">
        <v>1</v>
      </c>
      <c r="B5" s="2">
        <v>501</v>
      </c>
      <c r="C5" s="1" t="s">
        <v>8</v>
      </c>
      <c r="D5" s="1" t="s">
        <v>9</v>
      </c>
      <c r="E5" s="1">
        <v>6000</v>
      </c>
      <c r="F5" s="1">
        <v>4</v>
      </c>
      <c r="G5" s="1">
        <f>E5*F5</f>
        <v>24000</v>
      </c>
      <c r="H5" s="7" t="str">
        <f>IF(G5&gt;50000,"HIGH","STANDARD")</f>
        <v>STANDARD</v>
      </c>
    </row>
    <row r="6" spans="1:14">
      <c r="A6" s="6">
        <v>2</v>
      </c>
      <c r="B6" s="2">
        <v>502</v>
      </c>
      <c r="C6" s="1" t="s">
        <v>10</v>
      </c>
      <c r="D6" s="1" t="s">
        <v>9</v>
      </c>
      <c r="E6" s="1">
        <v>10000</v>
      </c>
      <c r="F6" s="1">
        <v>7</v>
      </c>
      <c r="G6" s="1">
        <f t="shared" ref="G6:G14" si="0">E6*F6</f>
        <v>70000</v>
      </c>
      <c r="H6" s="8" t="str">
        <f t="shared" ref="H6:H14" si="1">IF(G6&gt;50000,"HIGH","STANDARD")</f>
        <v>HIGH</v>
      </c>
    </row>
    <row r="7" spans="1:14">
      <c r="A7" s="6">
        <v>3</v>
      </c>
      <c r="B7" s="2">
        <v>503</v>
      </c>
      <c r="C7" s="1" t="s">
        <v>11</v>
      </c>
      <c r="D7" s="1" t="s">
        <v>9</v>
      </c>
      <c r="E7" s="1">
        <v>9000</v>
      </c>
      <c r="F7" s="1">
        <v>8</v>
      </c>
      <c r="G7" s="1">
        <f t="shared" si="0"/>
        <v>72000</v>
      </c>
      <c r="H7" s="8" t="str">
        <f t="shared" si="1"/>
        <v>HIGH</v>
      </c>
    </row>
    <row r="8" spans="1:14">
      <c r="A8" s="6">
        <v>4</v>
      </c>
      <c r="B8" s="2">
        <v>504</v>
      </c>
      <c r="C8" s="1" t="s">
        <v>12</v>
      </c>
      <c r="D8" s="1" t="s">
        <v>9</v>
      </c>
      <c r="E8" s="1">
        <v>65000</v>
      </c>
      <c r="F8" s="1">
        <v>4</v>
      </c>
      <c r="G8" s="1">
        <f t="shared" si="0"/>
        <v>260000</v>
      </c>
      <c r="H8" s="8" t="str">
        <f t="shared" si="1"/>
        <v>HIGH</v>
      </c>
    </row>
    <row r="9" spans="1:14">
      <c r="A9" s="6">
        <v>5</v>
      </c>
      <c r="B9" s="2">
        <v>505</v>
      </c>
      <c r="C9" s="1" t="s">
        <v>13</v>
      </c>
      <c r="D9" s="1" t="s">
        <v>9</v>
      </c>
      <c r="E9" s="1">
        <v>44000</v>
      </c>
      <c r="F9" s="1">
        <v>2</v>
      </c>
      <c r="G9" s="1">
        <f t="shared" si="0"/>
        <v>88000</v>
      </c>
      <c r="H9" s="8" t="str">
        <f t="shared" si="1"/>
        <v>HIGH</v>
      </c>
    </row>
    <row r="10" spans="1:14">
      <c r="A10" s="6">
        <v>6</v>
      </c>
      <c r="B10" s="2">
        <v>506</v>
      </c>
      <c r="C10" s="1" t="s">
        <v>8</v>
      </c>
      <c r="D10" s="1" t="s">
        <v>9</v>
      </c>
      <c r="E10" s="1">
        <v>3000</v>
      </c>
      <c r="F10" s="1">
        <v>3</v>
      </c>
      <c r="G10" s="1">
        <f t="shared" si="0"/>
        <v>9000</v>
      </c>
      <c r="H10" s="7" t="str">
        <f t="shared" si="1"/>
        <v>STANDARD</v>
      </c>
    </row>
    <row r="11" spans="1:14">
      <c r="A11" s="6">
        <v>7</v>
      </c>
      <c r="B11" s="2">
        <v>507</v>
      </c>
      <c r="C11" s="1" t="s">
        <v>8</v>
      </c>
      <c r="D11" s="1" t="s">
        <v>9</v>
      </c>
      <c r="E11" s="1">
        <v>20000</v>
      </c>
      <c r="F11" s="1">
        <v>10</v>
      </c>
      <c r="G11" s="1">
        <f t="shared" si="0"/>
        <v>200000</v>
      </c>
      <c r="H11" s="8" t="str">
        <f t="shared" si="1"/>
        <v>HIGH</v>
      </c>
      <c r="L11" s="21" t="s">
        <v>2</v>
      </c>
      <c r="M11" t="s">
        <v>10</v>
      </c>
    </row>
    <row r="12" spans="1:14">
      <c r="A12" s="6">
        <v>8</v>
      </c>
      <c r="B12" s="2">
        <v>508</v>
      </c>
      <c r="C12" s="1" t="s">
        <v>10</v>
      </c>
      <c r="D12" s="1" t="s">
        <v>9</v>
      </c>
      <c r="E12" s="1">
        <v>47000</v>
      </c>
      <c r="F12" s="1">
        <v>15</v>
      </c>
      <c r="G12" s="1">
        <f t="shared" si="0"/>
        <v>705000</v>
      </c>
      <c r="H12" s="8" t="str">
        <f t="shared" si="1"/>
        <v>HIGH</v>
      </c>
      <c r="L12" s="21" t="s">
        <v>7</v>
      </c>
      <c r="M12" t="s">
        <v>28</v>
      </c>
    </row>
    <row r="13" spans="1:14">
      <c r="A13" s="13">
        <v>9</v>
      </c>
      <c r="B13" s="14">
        <v>509</v>
      </c>
      <c r="C13" s="15" t="s">
        <v>10</v>
      </c>
      <c r="D13" s="15" t="s">
        <v>9</v>
      </c>
      <c r="E13" s="15">
        <v>50000</v>
      </c>
      <c r="F13" s="15">
        <v>20</v>
      </c>
      <c r="G13" s="15">
        <f t="shared" si="0"/>
        <v>1000000</v>
      </c>
      <c r="H13" s="16" t="str">
        <f t="shared" si="1"/>
        <v>HIGH</v>
      </c>
    </row>
    <row r="14" spans="1:14">
      <c r="A14" s="1">
        <v>10</v>
      </c>
      <c r="B14" s="2">
        <v>510</v>
      </c>
      <c r="C14" s="1" t="s">
        <v>12</v>
      </c>
      <c r="D14" s="1" t="s">
        <v>9</v>
      </c>
      <c r="E14" s="1">
        <v>25000</v>
      </c>
      <c r="F14" s="1">
        <v>30</v>
      </c>
      <c r="G14" s="1">
        <f t="shared" si="0"/>
        <v>750000</v>
      </c>
      <c r="H14" s="4" t="str">
        <f t="shared" si="1"/>
        <v>HIGH</v>
      </c>
      <c r="L14" s="21" t="s">
        <v>25</v>
      </c>
      <c r="M14" t="s">
        <v>26</v>
      </c>
      <c r="N14" t="s">
        <v>27</v>
      </c>
    </row>
    <row r="15" spans="1:14" ht="18.75">
      <c r="F15" s="9" t="s">
        <v>22</v>
      </c>
      <c r="G15" s="18" t="s">
        <v>23</v>
      </c>
      <c r="L15" s="22">
        <v>2</v>
      </c>
      <c r="M15" s="24">
        <v>10000</v>
      </c>
      <c r="N15" s="24">
        <v>70000</v>
      </c>
    </row>
    <row r="16" spans="1:14" ht="18.75">
      <c r="F16" s="5" t="s">
        <v>14</v>
      </c>
      <c r="G16" s="17">
        <f>SUM(G5:G14)</f>
        <v>3178000</v>
      </c>
      <c r="L16" s="23">
        <v>502</v>
      </c>
      <c r="M16" s="24">
        <v>10000</v>
      </c>
      <c r="N16" s="24">
        <v>70000</v>
      </c>
    </row>
    <row r="17" spans="3:14" ht="18.75">
      <c r="F17" s="5" t="s">
        <v>15</v>
      </c>
      <c r="G17" s="17">
        <f>AVERAGE(G5:G14)</f>
        <v>317800</v>
      </c>
      <c r="L17" s="22">
        <v>8</v>
      </c>
      <c r="M17" s="24">
        <v>47000</v>
      </c>
      <c r="N17" s="24">
        <v>705000</v>
      </c>
    </row>
    <row r="18" spans="3:14" ht="18.75">
      <c r="F18" s="5" t="s">
        <v>16</v>
      </c>
      <c r="G18" s="17">
        <f>MIN(G5:G14)</f>
        <v>9000</v>
      </c>
      <c r="L18" s="23">
        <v>508</v>
      </c>
      <c r="M18" s="24">
        <v>47000</v>
      </c>
      <c r="N18" s="24">
        <v>705000</v>
      </c>
    </row>
    <row r="19" spans="3:14" ht="18.75">
      <c r="C19" s="3"/>
      <c r="F19" s="5" t="s">
        <v>17</v>
      </c>
      <c r="G19" s="17">
        <f>MAX(G5:G14)</f>
        <v>1000000</v>
      </c>
      <c r="L19" s="22">
        <v>9</v>
      </c>
      <c r="M19" s="24">
        <v>50000</v>
      </c>
      <c r="N19" s="24">
        <v>1000000</v>
      </c>
    </row>
    <row r="20" spans="3:14" ht="18.75">
      <c r="F20" s="5" t="s">
        <v>18</v>
      </c>
      <c r="G20" s="17">
        <f>COUNT(E5:E14)</f>
        <v>10</v>
      </c>
      <c r="L20" s="23">
        <v>509</v>
      </c>
      <c r="M20" s="24">
        <v>50000</v>
      </c>
      <c r="N20" s="24">
        <v>1000000</v>
      </c>
    </row>
    <row r="21" spans="3:14" ht="18.75">
      <c r="F21" s="5" t="s">
        <v>19</v>
      </c>
      <c r="G21" s="17">
        <f>COUNTIF(C5:C14,"MOUSE")</f>
        <v>3</v>
      </c>
      <c r="L21" s="22" t="s">
        <v>24</v>
      </c>
      <c r="M21" s="24">
        <v>107000</v>
      </c>
      <c r="N21" s="24">
        <v>1775000</v>
      </c>
    </row>
    <row r="22" spans="3:14" ht="18.75">
      <c r="F22" s="5" t="s">
        <v>20</v>
      </c>
      <c r="G22" s="17">
        <f>SUMIF(C5:C14,"MONITOR",G5:G14)</f>
        <v>88000</v>
      </c>
    </row>
    <row r="23" spans="3:14" ht="18.75">
      <c r="F23" s="19" t="s">
        <v>21</v>
      </c>
      <c r="G23" s="20">
        <f>VLOOKUP(C6,C4:H14,4,FALSE)</f>
        <v>7</v>
      </c>
    </row>
  </sheetData>
  <dataValidations count="2">
    <dataValidation type="list" allowBlank="1" showInputMessage="1" showErrorMessage="1" sqref="A4:H14">
      <formula1>"a14 to h14"</formula1>
    </dataValidation>
    <dataValidation type="list" allowBlank="1" showInputMessage="1" showErrorMessage="1" sqref="F16:G23">
      <formula1>"f15 to g22"</formula1>
    </dataValidation>
  </dataValidations>
  <pageMargins left="0.7" right="0.7" top="0.75" bottom="0.75" header="0.3" footer="0.3"/>
  <pageSetup orientation="portrait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2026-06-20T09:42:00Z</dcterms:created>
  <dcterms:modified xsi:type="dcterms:W3CDTF">2026-06-21T09:39:51Z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D0E22AEA943049ADB0CFC046F2C9CD95_12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