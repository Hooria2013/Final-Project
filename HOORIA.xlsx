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esktop\"/>
    </mc:Choice>
  </mc:AlternateContent>
  <bookViews>
    <workbookView xWindow="0" yWindow="0" windowWidth="28800" windowHeight="11700"/>
  </bookViews>
  <sheets>
    <sheet name="Sheet1" sheetId="1" r:id="rId1"/>
    <sheet name="Sheet3" sheetId="3" r:id="rId2"/>
  </sheets>
  <definedNames>
    <definedName name="_xlnm._FilterDatabase" localSheetId="0" hidden="1">Sheet1!$C$4:$L$14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0" i="1"/>
  <c r="C34" i="1" l="1"/>
  <c r="C31" i="1"/>
  <c r="C28" i="1"/>
  <c r="C25" i="1"/>
  <c r="C23" i="1"/>
  <c r="C22" i="1"/>
  <c r="C18" i="1"/>
  <c r="L6" i="1"/>
  <c r="L7" i="1"/>
  <c r="L8" i="1"/>
  <c r="L9" i="1"/>
  <c r="L10" i="1"/>
  <c r="L11" i="1"/>
  <c r="L12" i="1"/>
  <c r="L13" i="1"/>
  <c r="L5" i="1"/>
  <c r="I14" i="1"/>
  <c r="K7" i="1"/>
  <c r="K8" i="1"/>
  <c r="K9" i="1"/>
  <c r="K10" i="1"/>
  <c r="K11" i="1"/>
  <c r="K12" i="1"/>
  <c r="K13" i="1"/>
  <c r="K6" i="1"/>
  <c r="K5" i="1"/>
</calcChain>
</file>

<file path=xl/sharedStrings.xml><?xml version="1.0" encoding="utf-8"?>
<sst xmlns="http://schemas.openxmlformats.org/spreadsheetml/2006/main" count="63" uniqueCount="44">
  <si>
    <t>DATE</t>
  </si>
  <si>
    <t xml:space="preserve">ID </t>
  </si>
  <si>
    <t xml:space="preserve">NAME </t>
  </si>
  <si>
    <t>REGION</t>
  </si>
  <si>
    <t>19/5/26</t>
  </si>
  <si>
    <t>15/5/26</t>
  </si>
  <si>
    <t>25/5/26</t>
  </si>
  <si>
    <t>30/5/26</t>
  </si>
  <si>
    <t>17/6/26</t>
  </si>
  <si>
    <t>21/6/26</t>
  </si>
  <si>
    <t>24/6/26</t>
  </si>
  <si>
    <t>NORTH</t>
  </si>
  <si>
    <t>SOUTH</t>
  </si>
  <si>
    <t>WEST</t>
  </si>
  <si>
    <t>EAST</t>
  </si>
  <si>
    <t>PRODUCT CATEGPRY</t>
  </si>
  <si>
    <t>HARDWARE</t>
  </si>
  <si>
    <t>CATERING</t>
  </si>
  <si>
    <t>SPORTS</t>
  </si>
  <si>
    <t xml:space="preserve">SALE PRICE </t>
  </si>
  <si>
    <t>STAGE</t>
  </si>
  <si>
    <t>HOW MANY ARE ELITE?</t>
  </si>
  <si>
    <t>WHO ARE ELITE?</t>
  </si>
  <si>
    <t xml:space="preserve">MINIMUM SALE PRICE </t>
  </si>
  <si>
    <t xml:space="preserve">MAXIMUM SALE PRICE </t>
  </si>
  <si>
    <t xml:space="preserve">AVERAGE OF ALL SALE PRICE </t>
  </si>
  <si>
    <t>SUM OF ONLY ELITE MEMBERS</t>
  </si>
  <si>
    <t>COMMISION</t>
  </si>
  <si>
    <t>EARNED</t>
  </si>
  <si>
    <t>HOORIA</t>
  </si>
  <si>
    <t>SEHRISH</t>
  </si>
  <si>
    <t>FATIMA</t>
  </si>
  <si>
    <t>WARDAH</t>
  </si>
  <si>
    <t>RIMSHA</t>
  </si>
  <si>
    <t>HIBA</t>
  </si>
  <si>
    <t>ASHNA</t>
  </si>
  <si>
    <t>ASBHA</t>
  </si>
  <si>
    <t>ANIBA</t>
  </si>
  <si>
    <t>Row Labels</t>
  </si>
  <si>
    <t>(blank)</t>
  </si>
  <si>
    <t>Grand Total</t>
  </si>
  <si>
    <t xml:space="preserve">Sum of SALE PRICE </t>
  </si>
  <si>
    <t>Count of COMMISION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</si>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</sst>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1" fillId="5" borderId="0" xfId="0" applyFont="1" applyFill="1" applyAlignment="1"/>
    <xf numFmtId="0" fontId="0" fillId="5" borderId="0" xfId="0" applyFill="1" applyAlignment="1"/>
    <xf numFmtId="0" fontId="1" fillId="5" borderId="0" xfId="0" applyFont="1" applyFill="1"/>
    <xf numFmtId="0" fontId="0" fillId="5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m/d/yyyy">
                  <c:v>46059</c:v>
                </c:pt>
                <c:pt idx="5" formatCode="m/d/yyyy">
                  <c:v>46240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3470</c:v>
                </c:pt>
                <c:pt idx="22">
                  <c:v>0</c:v>
                </c:pt>
                <c:pt idx="23">
                  <c:v>65000</c:v>
                </c:pt>
                <c:pt idx="25">
                  <c:v>0</c:v>
                </c:pt>
                <c:pt idx="26">
                  <c:v>26462.222222222223</c:v>
                </c:pt>
                <c:pt idx="28">
                  <c:v>0</c:v>
                </c:pt>
                <c:pt idx="29">
                  <c:v>178000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D-4F04-820B-D886813FEE64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ID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Sheet1!$D$5:$D$35</c:f>
              <c:numCache>
                <c:formatCode>General</c:formatCode>
                <c:ptCount val="31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D-4F04-820B-D886813FEE64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NAME 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Sheet1!$E$5:$E$35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D-4F04-820B-D886813FEE64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Sheet1!$F$5:$F$35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DD-4F04-820B-D886813FEE64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PRODUCT CATEGPRY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D-4F04-820B-D886813FEE64}"/>
            </c:ext>
          </c:extLst>
        </c:ser>
        <c:ser>
          <c:idx val="5"/>
          <c:order val="5"/>
          <c:tx>
            <c:strRef>
              <c:f>Sheet1!$H$4</c:f>
              <c:strCache>
                <c:ptCount val="1"/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Sheet1!$H$5:$H$35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5-66DD-4F04-820B-D886813FEE64}"/>
            </c:ext>
          </c:extLst>
        </c:ser>
        <c:ser>
          <c:idx val="6"/>
          <c:order val="6"/>
          <c:tx>
            <c:strRef>
              <c:f>Sheet1!$I$4</c:f>
              <c:strCache>
                <c:ptCount val="1"/>
                <c:pt idx="0">
                  <c:v>SALE PRICE 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Sheet1!$I$5:$I$35</c:f>
              <c:numCache>
                <c:formatCode>General</c:formatCode>
                <c:ptCount val="31"/>
                <c:pt idx="0">
                  <c:v>26500</c:v>
                </c:pt>
                <c:pt idx="1">
                  <c:v>36500</c:v>
                </c:pt>
                <c:pt idx="2">
                  <c:v>65000</c:v>
                </c:pt>
                <c:pt idx="3">
                  <c:v>3470</c:v>
                </c:pt>
                <c:pt idx="4">
                  <c:v>21000</c:v>
                </c:pt>
                <c:pt idx="5">
                  <c:v>5430</c:v>
                </c:pt>
                <c:pt idx="6">
                  <c:v>23560</c:v>
                </c:pt>
                <c:pt idx="7">
                  <c:v>50000</c:v>
                </c:pt>
                <c:pt idx="8">
                  <c:v>6700</c:v>
                </c:pt>
                <c:pt idx="9">
                  <c:v>238160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D-4F04-820B-D886813FEE64}"/>
            </c:ext>
          </c:extLst>
        </c:ser>
        <c:ser>
          <c:idx val="7"/>
          <c:order val="7"/>
          <c:tx>
            <c:strRef>
              <c:f>Sheet1!$J$4</c:f>
              <c:strCache>
                <c:ptCount val="1"/>
                <c:pt idx="0">
                  <c:v>COMMISION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Sheet1!$J$5:$J$35</c:f>
              <c:numCache>
                <c:formatCode>0%</c:formatCode>
                <c:ptCount val="31"/>
                <c:pt idx="0">
                  <c:v>0.15</c:v>
                </c:pt>
                <c:pt idx="1">
                  <c:v>0.03</c:v>
                </c:pt>
                <c:pt idx="2">
                  <c:v>0.16</c:v>
                </c:pt>
                <c:pt idx="3">
                  <c:v>0.04</c:v>
                </c:pt>
                <c:pt idx="4">
                  <c:v>0.05</c:v>
                </c:pt>
                <c:pt idx="5">
                  <c:v>0.1</c:v>
                </c:pt>
                <c:pt idx="6">
                  <c:v>0.2</c:v>
                </c:pt>
                <c:pt idx="7">
                  <c:v>0.12</c:v>
                </c:pt>
                <c:pt idx="8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DD-4F04-820B-D886813FEE64}"/>
            </c:ext>
          </c:extLst>
        </c:ser>
        <c:ser>
          <c:idx val="8"/>
          <c:order val="8"/>
          <c:tx>
            <c:strRef>
              <c:f>Sheet1!$K$4</c:f>
              <c:strCache>
                <c:ptCount val="1"/>
                <c:pt idx="0">
                  <c:v>EARNED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Sheet1!$K$5:$K$35</c:f>
              <c:numCache>
                <c:formatCode>General</c:formatCode>
                <c:ptCount val="31"/>
                <c:pt idx="0">
                  <c:v>3975</c:v>
                </c:pt>
                <c:pt idx="1">
                  <c:v>1095</c:v>
                </c:pt>
                <c:pt idx="2">
                  <c:v>10400</c:v>
                </c:pt>
                <c:pt idx="3">
                  <c:v>138.80000000000001</c:v>
                </c:pt>
                <c:pt idx="4">
                  <c:v>1050</c:v>
                </c:pt>
                <c:pt idx="5">
                  <c:v>543</c:v>
                </c:pt>
                <c:pt idx="6">
                  <c:v>4712</c:v>
                </c:pt>
                <c:pt idx="7">
                  <c:v>6000</c:v>
                </c:pt>
                <c:pt idx="8">
                  <c:v>938.00000000000011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DD-4F04-820B-D886813FEE64}"/>
            </c:ext>
          </c:extLst>
        </c:ser>
        <c:ser>
          <c:idx val="9"/>
          <c:order val="9"/>
          <c:tx>
            <c:strRef>
              <c:f>Sheet1!$L$4</c:f>
              <c:strCache>
                <c:ptCount val="1"/>
                <c:pt idx="0">
                  <c:v>STAGE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DD-4F04-820B-D886813FEE64}"/>
            </c:ext>
          </c:extLst>
        </c:ser>
        <c:ser>
          <c:idx val="10"/>
          <c:order val="10"/>
          <c:tx>
            <c:strRef>
              <c:f>Sheet1!$M$4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Sheet1!$B$5:$B$35</c:f>
              <c:numCache>
                <c:formatCode>General</c:formatCode>
                <c:ptCount val="31"/>
              </c:numCache>
            </c:numRef>
          </c:cat>
          <c:val>
            <c:numRef>
              <c:f>Sheet1!$M$5:$M$35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A-66DD-4F04-820B-D886813FEE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01717504"/>
        <c:axId val="601718752"/>
      </c:barChart>
      <c:catAx>
        <c:axId val="6017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18752"/>
        <c:crosses val="autoZero"/>
        <c:auto val="1"/>
        <c:lblAlgn val="ctr"/>
        <c:lblOffset val="100"/>
        <c:noMultiLvlLbl val="0"/>
      </c:catAx>
      <c:valAx>
        <c:axId val="601718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017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[HOORIA.xlsx]Sheet3!PivotTable1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 PRICE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15/5/26</c:v>
                </c:pt>
                <c:pt idx="1">
                  <c:v>17/6/26</c:v>
                </c:pt>
                <c:pt idx="2">
                  <c:v>19/5/26</c:v>
                </c:pt>
                <c:pt idx="3">
                  <c:v>21/6/26</c:v>
                </c:pt>
                <c:pt idx="4">
                  <c:v>24/6/26</c:v>
                </c:pt>
                <c:pt idx="5">
                  <c:v>25/5/26</c:v>
                </c:pt>
                <c:pt idx="6">
                  <c:v>30/5/26</c:v>
                </c:pt>
                <c:pt idx="7">
                  <c:v>2/6/2026</c:v>
                </c:pt>
                <c:pt idx="8">
                  <c:v>8/6/2026</c:v>
                </c:pt>
                <c:pt idx="9">
                  <c:v>(blank)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26500</c:v>
                </c:pt>
                <c:pt idx="1">
                  <c:v>23560</c:v>
                </c:pt>
                <c:pt idx="2">
                  <c:v>36500</c:v>
                </c:pt>
                <c:pt idx="3">
                  <c:v>50000</c:v>
                </c:pt>
                <c:pt idx="4">
                  <c:v>6700</c:v>
                </c:pt>
                <c:pt idx="5">
                  <c:v>65000</c:v>
                </c:pt>
                <c:pt idx="6">
                  <c:v>3470</c:v>
                </c:pt>
                <c:pt idx="7">
                  <c:v>21000</c:v>
                </c:pt>
                <c:pt idx="8">
                  <c:v>5430</c:v>
                </c:pt>
                <c:pt idx="9">
                  <c:v>238160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50C-B2A7-67E9E8BFA09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COMMISION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15/5/26</c:v>
                </c:pt>
                <c:pt idx="1">
                  <c:v>17/6/26</c:v>
                </c:pt>
                <c:pt idx="2">
                  <c:v>19/5/26</c:v>
                </c:pt>
                <c:pt idx="3">
                  <c:v>21/6/26</c:v>
                </c:pt>
                <c:pt idx="4">
                  <c:v>24/6/26</c:v>
                </c:pt>
                <c:pt idx="5">
                  <c:v>25/5/26</c:v>
                </c:pt>
                <c:pt idx="6">
                  <c:v>30/5/26</c:v>
                </c:pt>
                <c:pt idx="7">
                  <c:v>2/6/2026</c:v>
                </c:pt>
                <c:pt idx="8">
                  <c:v>8/6/2026</c:v>
                </c:pt>
                <c:pt idx="9">
                  <c:v>(blank)</c:v>
                </c:pt>
              </c:strCache>
            </c:strRef>
          </c:cat>
          <c:val>
            <c:numRef>
              <c:f>Sheet3!$C$4:$C$14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A-450C-B2A7-67E9E8BF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0671679"/>
        <c:axId val="1480672511"/>
      </c:barChart>
      <c:catAx>
        <c:axId val="148067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72511"/>
        <c:crosses val="autoZero"/>
        <c:auto val="1"/>
        <c:lblAlgn val="ctr"/>
        <c:lblOffset val="100"/>
        <c:noMultiLvlLbl val="0"/>
      </c:catAx>
      <c:valAx>
        <c:axId val="14806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7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</xdr:colOff>
      <xdr:row>17</xdr:row>
      <xdr:rowOff>57156</xdr:rowOff>
    </xdr:from>
    <xdr:to>
      <xdr:col>12</xdr:col>
      <xdr:colOff>185737</xdr:colOff>
      <xdr:row>31</xdr:row>
      <xdr:rowOff>85731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109536</xdr:colOff>
      <xdr:row>7</xdr:row>
      <xdr:rowOff>80962</xdr:rowOff>
    </xdr:from>
    <xdr:to>
      <xdr:col>15</xdr:col>
      <xdr:colOff>247649</xdr:colOff>
      <xdr:row>21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193.651596180556" createdVersion="6" refreshedVersion="6" minRefreshableVersion="3" recordCount="10">
  <cacheSource type="worksheet">
    <worksheetSource ref="A3:I13" sheet="Sheet2"/>
  </cacheSource>
  <cacheFields count="9">
    <cacheField name="DATE" numFmtId="0">
      <sharedItems containsDate="1" containsBlank="1" containsMixedTypes="1" minDate="2026-02-06T00:00:00" maxDate="2026-08-07T00:00:00" count="10">
        <s v="15/5/26"/>
        <s v="19/5/26"/>
        <s v="25/5/26"/>
        <s v="30/5/26"/>
        <d v="2026-02-06T00:00:00"/>
        <d v="2026-08-06T00:00:00"/>
        <s v="17/6/26"/>
        <s v="21/6/26"/>
        <s v="24/6/26"/>
        <m/>
      </sharedItems>
    </cacheField>
    <cacheField name="ID " numFmtId="0">
      <sharedItems containsString="0" containsBlank="1" containsNumber="1" containsInteger="1" minValue="201" maxValue="209" count="10">
        <n v="201"/>
        <n v="202"/>
        <n v="203"/>
        <n v="204"/>
        <n v="205"/>
        <n v="206"/>
        <n v="207"/>
        <n v="208"/>
        <n v="209"/>
        <m/>
      </sharedItems>
    </cacheField>
    <cacheField name="NAME " numFmtId="0">
      <sharedItems containsBlank="1" count="10">
        <s v="HOORIA"/>
        <s v="SEHRISH"/>
        <s v="FATIMA"/>
        <s v="WARDAH"/>
        <s v="RIMSHA"/>
        <s v="HIBA"/>
        <s v="ASHNA"/>
        <s v="ASBHA"/>
        <s v="ANIBA"/>
        <m/>
      </sharedItems>
    </cacheField>
    <cacheField name="REGION" numFmtId="0">
      <sharedItems containsBlank="1" count="5">
        <s v="NORTH"/>
        <s v="SOUTH"/>
        <s v="WEST"/>
        <s v="EAST"/>
        <m/>
      </sharedItems>
    </cacheField>
    <cacheField name="PRODUCT CATEGORY" numFmtId="0">
      <sharedItems containsBlank="1"/>
    </cacheField>
    <cacheField name="SALE PRICE " numFmtId="0">
      <sharedItems containsSemiMixedTypes="0" containsString="0" containsNumber="1" containsInteger="1" minValue="3470" maxValue="238160"/>
    </cacheField>
    <cacheField name="COMMISION" numFmtId="0">
      <sharedItems containsString="0" containsBlank="1" containsNumber="1" minValue="0.03" maxValue="0.2"/>
    </cacheField>
    <cacheField name="EARNED" numFmtId="0">
      <sharedItems containsString="0" containsBlank="1" containsNumber="1" minValue="138.80000000000001" maxValue="10400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s v="HARDWARE"/>
    <n v="26500"/>
    <n v="0.15"/>
    <n v="3975"/>
    <s v="ELITE"/>
  </r>
  <r>
    <x v="1"/>
    <x v="1"/>
    <x v="1"/>
    <x v="0"/>
    <s v="HARDWARE"/>
    <n v="36500"/>
    <n v="0.03"/>
    <n v="1095"/>
    <s v="ELITE"/>
  </r>
  <r>
    <x v="2"/>
    <x v="2"/>
    <x v="2"/>
    <x v="0"/>
    <s v="HARDWARE"/>
    <n v="65000"/>
    <n v="0.16"/>
    <n v="10400"/>
    <s v="ELITE"/>
  </r>
  <r>
    <x v="3"/>
    <x v="3"/>
    <x v="3"/>
    <x v="1"/>
    <s v="CATERING"/>
    <n v="3470"/>
    <n v="0.04"/>
    <n v="138.80000000000001"/>
    <s v="REGULAR"/>
  </r>
  <r>
    <x v="4"/>
    <x v="4"/>
    <x v="4"/>
    <x v="2"/>
    <s v="CATERING"/>
    <n v="21000"/>
    <n v="0.05"/>
    <n v="1050"/>
    <s v="REGULAR"/>
  </r>
  <r>
    <x v="5"/>
    <x v="5"/>
    <x v="5"/>
    <x v="2"/>
    <s v="SPORTS"/>
    <n v="5430"/>
    <n v="0.1"/>
    <n v="543"/>
    <s v="REGULAR"/>
  </r>
  <r>
    <x v="6"/>
    <x v="6"/>
    <x v="6"/>
    <x v="3"/>
    <s v="SPORTS"/>
    <n v="23560"/>
    <n v="0.2"/>
    <n v="4712"/>
    <s v="REGULAR"/>
  </r>
  <r>
    <x v="7"/>
    <x v="7"/>
    <x v="7"/>
    <x v="1"/>
    <s v="SPORTS"/>
    <n v="50000"/>
    <n v="0.12"/>
    <n v="6000"/>
    <s v="ELITE"/>
  </r>
  <r>
    <x v="8"/>
    <x v="8"/>
    <x v="8"/>
    <x v="3"/>
    <s v="CATERING"/>
    <n v="6700"/>
    <n v="0.14000000000000001"/>
    <n v="938.00000000000011"/>
    <s v="REGULAR"/>
  </r>
  <r>
    <x v="9"/>
    <x v="9"/>
    <x v="9"/>
    <x v="4"/>
    <m/>
    <n v="23816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4" firstHeaderRow="0" firstDataRow="1" firstDataCol="1" rowPageCount="1" colPageCount="1"/>
  <pivotFields count="9">
    <pivotField axis="axisRow" showAll="0">
      <items count="11">
        <item x="0"/>
        <item x="6"/>
        <item x="1"/>
        <item x="7"/>
        <item x="8"/>
        <item x="2"/>
        <item x="3"/>
        <item x="4"/>
        <item x="5"/>
        <item x="9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1">
        <item x="8"/>
        <item x="7"/>
        <item x="6"/>
        <item x="2"/>
        <item x="5"/>
        <item x="0"/>
        <item x="4"/>
        <item x="1"/>
        <item x="3"/>
        <item x="9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SALE PRICE " fld="5" baseField="0" baseItem="0"/>
    <dataField name="Count of COMMISION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34"/>
  <sheetViews>
    <sheetView tabSelected="1" topLeftCell="A3" workbookViewId="0">
      <pane xSplit="12" ySplit="12" topLeftCell="M15" activePane="bottomRight" state="frozen"/>
      <selection activeCell="A3" sqref="A3"/>
      <selection pane="topRight" activeCell="M3" sqref="M3"/>
      <selection pane="bottomLeft" activeCell="A15" sqref="A15"/>
      <selection pane="bottomRight" activeCell="P24" sqref="P24"/>
    </sheetView>
  </sheetViews>
  <sheetFormatPr defaultRowHeight="15" x14ac:dyDescent="0.25"/>
  <cols>
    <col min="2" max="2" width="6.140625" customWidth="1"/>
    <col min="4" max="4" width="11" customWidth="1"/>
    <col min="5" max="5" width="13" customWidth="1"/>
    <col min="8" max="8" width="11.28515625" customWidth="1"/>
    <col min="9" max="9" width="14.140625" customWidth="1"/>
    <col min="10" max="10" width="13.5703125" customWidth="1"/>
  </cols>
  <sheetData>
    <row r="4" spans="3:12" ht="15.75" x14ac:dyDescent="0.25">
      <c r="C4" s="3" t="s">
        <v>0</v>
      </c>
      <c r="D4" s="3" t="s">
        <v>1</v>
      </c>
      <c r="E4" s="3" t="s">
        <v>2</v>
      </c>
      <c r="F4" s="3" t="s">
        <v>3</v>
      </c>
      <c r="G4" s="20" t="s">
        <v>15</v>
      </c>
      <c r="H4" s="20"/>
      <c r="I4" s="3" t="s">
        <v>19</v>
      </c>
      <c r="J4" s="3" t="s">
        <v>27</v>
      </c>
      <c r="K4" s="3" t="s">
        <v>28</v>
      </c>
      <c r="L4" s="3" t="s">
        <v>20</v>
      </c>
    </row>
    <row r="5" spans="3:12" x14ac:dyDescent="0.25">
      <c r="C5" s="4" t="s">
        <v>5</v>
      </c>
      <c r="D5" s="4">
        <v>201</v>
      </c>
      <c r="E5" s="4" t="s">
        <v>29</v>
      </c>
      <c r="F5" s="4" t="s">
        <v>11</v>
      </c>
      <c r="G5" s="18" t="s">
        <v>16</v>
      </c>
      <c r="H5" s="19"/>
      <c r="I5" s="4">
        <v>26500</v>
      </c>
      <c r="J5" s="5">
        <v>0.15</v>
      </c>
      <c r="K5" s="4">
        <f>I5*J5</f>
        <v>3975</v>
      </c>
      <c r="L5" s="6" t="str">
        <f>IF(I5&lt;25000,"REGULAR","ELITE")</f>
        <v>ELITE</v>
      </c>
    </row>
    <row r="6" spans="3:12" x14ac:dyDescent="0.25">
      <c r="C6" s="4" t="s">
        <v>4</v>
      </c>
      <c r="D6" s="4">
        <v>202</v>
      </c>
      <c r="E6" s="4" t="s">
        <v>30</v>
      </c>
      <c r="F6" s="4" t="s">
        <v>11</v>
      </c>
      <c r="G6" s="18" t="s">
        <v>16</v>
      </c>
      <c r="H6" s="19"/>
      <c r="I6" s="4">
        <v>36500</v>
      </c>
      <c r="J6" s="5">
        <v>0.03</v>
      </c>
      <c r="K6" s="4">
        <f>I6*J6</f>
        <v>1095</v>
      </c>
      <c r="L6" s="6" t="str">
        <f t="shared" ref="L6:L13" si="0">IF(I6&lt;25000,"REGULAR","ELITE")</f>
        <v>ELITE</v>
      </c>
    </row>
    <row r="7" spans="3:12" x14ac:dyDescent="0.25">
      <c r="C7" s="4" t="s">
        <v>6</v>
      </c>
      <c r="D7" s="4">
        <v>203</v>
      </c>
      <c r="E7" s="4" t="s">
        <v>31</v>
      </c>
      <c r="F7" s="4" t="s">
        <v>11</v>
      </c>
      <c r="G7" s="18" t="s">
        <v>16</v>
      </c>
      <c r="H7" s="19"/>
      <c r="I7" s="4">
        <v>65000</v>
      </c>
      <c r="J7" s="5">
        <v>0.16</v>
      </c>
      <c r="K7" s="4">
        <f t="shared" ref="K7:K13" si="1">I7*J7</f>
        <v>10400</v>
      </c>
      <c r="L7" s="6" t="str">
        <f t="shared" si="0"/>
        <v>ELITE</v>
      </c>
    </row>
    <row r="8" spans="3:12" x14ac:dyDescent="0.25">
      <c r="C8" s="4" t="s">
        <v>7</v>
      </c>
      <c r="D8" s="4">
        <v>204</v>
      </c>
      <c r="E8" s="4" t="s">
        <v>32</v>
      </c>
      <c r="F8" s="4" t="s">
        <v>12</v>
      </c>
      <c r="G8" s="18" t="s">
        <v>17</v>
      </c>
      <c r="H8" s="19"/>
      <c r="I8" s="4">
        <v>3470</v>
      </c>
      <c r="J8" s="5">
        <v>0.04</v>
      </c>
      <c r="K8" s="4">
        <f t="shared" si="1"/>
        <v>138.80000000000001</v>
      </c>
      <c r="L8" s="6" t="str">
        <f t="shared" si="0"/>
        <v>REGULAR</v>
      </c>
    </row>
    <row r="9" spans="3:12" x14ac:dyDescent="0.25">
      <c r="C9" s="7">
        <v>46059</v>
      </c>
      <c r="D9" s="4">
        <v>205</v>
      </c>
      <c r="E9" s="4" t="s">
        <v>33</v>
      </c>
      <c r="F9" s="4" t="s">
        <v>13</v>
      </c>
      <c r="G9" s="18" t="s">
        <v>17</v>
      </c>
      <c r="H9" s="19"/>
      <c r="I9" s="4">
        <v>21000</v>
      </c>
      <c r="J9" s="5">
        <v>0.05</v>
      </c>
      <c r="K9" s="4">
        <f t="shared" si="1"/>
        <v>1050</v>
      </c>
      <c r="L9" s="6" t="str">
        <f t="shared" si="0"/>
        <v>REGULAR</v>
      </c>
    </row>
    <row r="10" spans="3:12" x14ac:dyDescent="0.25">
      <c r="C10" s="7">
        <v>46240</v>
      </c>
      <c r="D10" s="4">
        <v>206</v>
      </c>
      <c r="E10" s="4" t="s">
        <v>34</v>
      </c>
      <c r="F10" s="4" t="s">
        <v>13</v>
      </c>
      <c r="G10" s="18" t="s">
        <v>18</v>
      </c>
      <c r="H10" s="19"/>
      <c r="I10" s="4">
        <v>5430</v>
      </c>
      <c r="J10" s="5">
        <v>0.1</v>
      </c>
      <c r="K10" s="4">
        <f t="shared" si="1"/>
        <v>543</v>
      </c>
      <c r="L10" s="6" t="str">
        <f t="shared" si="0"/>
        <v>REGULAR</v>
      </c>
    </row>
    <row r="11" spans="3:12" x14ac:dyDescent="0.25">
      <c r="C11" s="4" t="s">
        <v>8</v>
      </c>
      <c r="D11" s="4">
        <v>207</v>
      </c>
      <c r="E11" s="4" t="s">
        <v>35</v>
      </c>
      <c r="F11" s="4" t="s">
        <v>14</v>
      </c>
      <c r="G11" s="21" t="s">
        <v>18</v>
      </c>
      <c r="H11" s="22"/>
      <c r="I11" s="4">
        <v>23560</v>
      </c>
      <c r="J11" s="5">
        <v>0.2</v>
      </c>
      <c r="K11" s="4">
        <f t="shared" si="1"/>
        <v>4712</v>
      </c>
      <c r="L11" s="6" t="str">
        <f t="shared" si="0"/>
        <v>REGULAR</v>
      </c>
    </row>
    <row r="12" spans="3:12" x14ac:dyDescent="0.25">
      <c r="C12" s="4" t="s">
        <v>9</v>
      </c>
      <c r="D12" s="4">
        <v>208</v>
      </c>
      <c r="E12" s="4" t="s">
        <v>36</v>
      </c>
      <c r="F12" s="4" t="s">
        <v>12</v>
      </c>
      <c r="G12" s="18" t="s">
        <v>18</v>
      </c>
      <c r="H12" s="19"/>
      <c r="I12" s="4">
        <v>50000</v>
      </c>
      <c r="J12" s="5">
        <v>0.12</v>
      </c>
      <c r="K12" s="4">
        <f t="shared" si="1"/>
        <v>6000</v>
      </c>
      <c r="L12" s="6" t="str">
        <f t="shared" si="0"/>
        <v>ELITE</v>
      </c>
    </row>
    <row r="13" spans="3:12" x14ac:dyDescent="0.25">
      <c r="C13" s="4" t="s">
        <v>10</v>
      </c>
      <c r="D13" s="4">
        <v>209</v>
      </c>
      <c r="E13" s="4" t="s">
        <v>37</v>
      </c>
      <c r="F13" s="4" t="s">
        <v>14</v>
      </c>
      <c r="G13" s="18" t="s">
        <v>17</v>
      </c>
      <c r="H13" s="19"/>
      <c r="I13" s="4">
        <v>6700</v>
      </c>
      <c r="J13" s="5">
        <v>0.14000000000000001</v>
      </c>
      <c r="K13" s="4">
        <f t="shared" si="1"/>
        <v>938.00000000000011</v>
      </c>
      <c r="L13" s="6" t="str">
        <f t="shared" si="0"/>
        <v>REGULAR</v>
      </c>
    </row>
    <row r="14" spans="3:12" x14ac:dyDescent="0.25">
      <c r="C14" s="6"/>
      <c r="D14" s="6"/>
      <c r="E14" s="6"/>
      <c r="F14" s="6"/>
      <c r="G14" s="18"/>
      <c r="H14" s="19"/>
      <c r="I14" s="4">
        <f>SUM(I5:I13)</f>
        <v>238160</v>
      </c>
      <c r="J14" s="6"/>
      <c r="K14" s="6"/>
      <c r="L14" s="6"/>
    </row>
    <row r="15" spans="3:12" ht="17.25" customHeight="1" x14ac:dyDescent="0.25"/>
    <row r="16" spans="3:12" x14ac:dyDescent="0.25">
      <c r="G16" s="1"/>
      <c r="H16" s="1"/>
    </row>
    <row r="17" spans="3:8" ht="15.75" x14ac:dyDescent="0.25">
      <c r="C17" s="8" t="s">
        <v>21</v>
      </c>
      <c r="D17" s="8"/>
      <c r="E17" s="9"/>
      <c r="G17" s="1"/>
      <c r="H17" s="1"/>
    </row>
    <row r="18" spans="3:8" x14ac:dyDescent="0.25">
      <c r="C18" s="12">
        <f>COUNTIF(L5:L13,"ELITE")</f>
        <v>4</v>
      </c>
      <c r="D18" s="12"/>
    </row>
    <row r="19" spans="3:8" ht="15.75" x14ac:dyDescent="0.25">
      <c r="C19" s="10" t="s">
        <v>22</v>
      </c>
      <c r="D19" s="10"/>
    </row>
    <row r="20" spans="3:8" x14ac:dyDescent="0.25">
      <c r="C20" s="12" t="str">
        <f>VLOOKUP(E5,E5:I5,1)</f>
        <v>HOORIA</v>
      </c>
      <c r="D20" s="12"/>
    </row>
    <row r="21" spans="3:8" x14ac:dyDescent="0.25">
      <c r="C21" s="12" t="str">
        <f>VLOOKUP(E6,E6:I6,1)</f>
        <v>SEHRISH</v>
      </c>
      <c r="D21" s="12"/>
    </row>
    <row r="22" spans="3:8" x14ac:dyDescent="0.25">
      <c r="C22" s="12" t="str">
        <f>HLOOKUP(E7,E7:H7,1)</f>
        <v>FATIMA</v>
      </c>
      <c r="D22" s="12"/>
    </row>
    <row r="23" spans="3:8" x14ac:dyDescent="0.25">
      <c r="C23" s="12" t="str">
        <f>HLOOKUP(E12,E12:H12,1)</f>
        <v>ASBHA</v>
      </c>
      <c r="D23" s="12"/>
    </row>
    <row r="24" spans="3:8" ht="15.75" x14ac:dyDescent="0.25">
      <c r="C24" s="10" t="s">
        <v>23</v>
      </c>
      <c r="D24" s="10"/>
      <c r="E24" s="11"/>
    </row>
    <row r="25" spans="3:8" x14ac:dyDescent="0.25">
      <c r="C25" s="12">
        <f>MIN(I5:I13)</f>
        <v>3470</v>
      </c>
      <c r="D25" s="12"/>
    </row>
    <row r="27" spans="3:8" ht="15.75" x14ac:dyDescent="0.25">
      <c r="C27" s="10" t="s">
        <v>24</v>
      </c>
      <c r="D27" s="11"/>
      <c r="E27" s="11"/>
    </row>
    <row r="28" spans="3:8" ht="15.75" x14ac:dyDescent="0.25">
      <c r="C28" s="12">
        <f>MAX(I5:I13)</f>
        <v>65000</v>
      </c>
      <c r="D28" s="13"/>
      <c r="E28" s="2"/>
    </row>
    <row r="30" spans="3:8" ht="15.75" x14ac:dyDescent="0.25">
      <c r="C30" s="10" t="s">
        <v>25</v>
      </c>
      <c r="D30" s="10"/>
      <c r="E30" s="10"/>
    </row>
    <row r="31" spans="3:8" x14ac:dyDescent="0.25">
      <c r="C31" s="12">
        <f>AVERAGE(I5:I13)</f>
        <v>26462.222222222223</v>
      </c>
      <c r="D31" s="12"/>
    </row>
    <row r="33" spans="3:5" ht="15.75" x14ac:dyDescent="0.25">
      <c r="C33" s="10" t="s">
        <v>26</v>
      </c>
      <c r="D33" s="11"/>
      <c r="E33" s="11"/>
    </row>
    <row r="34" spans="3:5" x14ac:dyDescent="0.25">
      <c r="C34" s="12">
        <f>SUMIF(L5:L13,"ELITE",I5:I13)</f>
        <v>178000</v>
      </c>
      <c r="D34" s="12"/>
    </row>
  </sheetData>
  <autoFilter ref="C4:L14">
    <filterColumn colId="4" showButton="0"/>
  </autoFilter>
  <mergeCells count="11">
    <mergeCell ref="G14:H14"/>
    <mergeCell ref="G4:H4"/>
    <mergeCell ref="G10:H10"/>
    <mergeCell ref="G11:H11"/>
    <mergeCell ref="G12:H12"/>
    <mergeCell ref="G13:H13"/>
    <mergeCell ref="G9:H9"/>
    <mergeCell ref="G8:H8"/>
    <mergeCell ref="G7:H7"/>
    <mergeCell ref="G6:H6"/>
    <mergeCell ref="G5:H5"/>
  </mergeCells>
  <dataValidations count="1">
    <dataValidation type="custom" allowBlank="1" showInputMessage="1" showErrorMessage="1" errorTitle="ERROR" error="PLEASE ENTER NORTH ,WEST,EAST OR SOUTH " promptTitle="WARNING" prompt="YOU CAN ONLY ENTER REGIONS" sqref="F4:F14">
      <formula1>"SOUTH,WEST,NORTH,EAST"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D9A3037-651A-46C1-9B1C-3659FDB15E73}">
            <xm:f>NOT(ISERROR(SEARCH($L$5,L5)))</xm:f>
            <xm:f>$L$5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ED5BA447-16A9-43B9-B075-421A5B032AE3}">
            <xm:f>NOT(ISERROR(SEARCH($L$5,L5)))</xm:f>
            <xm:f>$L$5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L5:L13</xm:sqref>
        </x14:conditionalFormatting>
        <x14:conditionalFormatting xmlns:xm="http://schemas.microsoft.com/office/excel/2006/main">
          <x14:cfRule type="containsText" priority="1" operator="containsText" id="{C46CCAED-F9CC-4FDC-B58D-06E6461A985B}">
            <xm:f>NOT(ISERROR(SEARCH($L$9,L8)))</xm:f>
            <xm:f>$L$9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L8:L14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G23" sqref="G23"/>
    </sheetView>
  </sheetViews>
  <sheetFormatPr defaultRowHeight="15" x14ac:dyDescent="0.25"/>
  <cols>
    <col min="1" max="1" width="13.140625" customWidth="1"/>
    <col min="2" max="2" width="17.85546875" customWidth="1"/>
    <col min="3" max="3" width="20.5703125" customWidth="1"/>
    <col min="4" max="4" width="7.140625" customWidth="1"/>
    <col min="5" max="5" width="6" customWidth="1"/>
    <col min="6" max="6" width="7.28515625" customWidth="1"/>
    <col min="7" max="7" width="20.5703125" customWidth="1"/>
    <col min="8" max="8" width="7.28515625" customWidth="1"/>
    <col min="9" max="9" width="7.140625" customWidth="1"/>
    <col min="10" max="10" width="6" customWidth="1"/>
    <col min="11" max="11" width="7.28515625" customWidth="1"/>
    <col min="12" max="12" width="22.85546875" customWidth="1"/>
    <col min="13" max="13" width="25.7109375" bestFit="1" customWidth="1"/>
  </cols>
  <sheetData>
    <row r="1" spans="1:3" x14ac:dyDescent="0.25">
      <c r="A1" s="14" t="s">
        <v>3</v>
      </c>
      <c r="B1" t="s">
        <v>43</v>
      </c>
    </row>
    <row r="3" spans="1:3" x14ac:dyDescent="0.25">
      <c r="A3" s="14" t="s">
        <v>38</v>
      </c>
      <c r="B3" t="s">
        <v>41</v>
      </c>
      <c r="C3" t="s">
        <v>42</v>
      </c>
    </row>
    <row r="4" spans="1:3" x14ac:dyDescent="0.25">
      <c r="A4" s="15" t="s">
        <v>5</v>
      </c>
      <c r="B4" s="16">
        <v>26500</v>
      </c>
      <c r="C4" s="16">
        <v>1</v>
      </c>
    </row>
    <row r="5" spans="1:3" x14ac:dyDescent="0.25">
      <c r="A5" s="15" t="s">
        <v>8</v>
      </c>
      <c r="B5" s="16">
        <v>23560</v>
      </c>
      <c r="C5" s="16">
        <v>1</v>
      </c>
    </row>
    <row r="6" spans="1:3" x14ac:dyDescent="0.25">
      <c r="A6" s="15" t="s">
        <v>4</v>
      </c>
      <c r="B6" s="16">
        <v>36500</v>
      </c>
      <c r="C6" s="16">
        <v>1</v>
      </c>
    </row>
    <row r="7" spans="1:3" x14ac:dyDescent="0.25">
      <c r="A7" s="15" t="s">
        <v>9</v>
      </c>
      <c r="B7" s="16">
        <v>50000</v>
      </c>
      <c r="C7" s="16">
        <v>1</v>
      </c>
    </row>
    <row r="8" spans="1:3" x14ac:dyDescent="0.25">
      <c r="A8" s="15" t="s">
        <v>10</v>
      </c>
      <c r="B8" s="16">
        <v>6700</v>
      </c>
      <c r="C8" s="16">
        <v>1</v>
      </c>
    </row>
    <row r="9" spans="1:3" x14ac:dyDescent="0.25">
      <c r="A9" s="15" t="s">
        <v>6</v>
      </c>
      <c r="B9" s="16">
        <v>65000</v>
      </c>
      <c r="C9" s="16">
        <v>1</v>
      </c>
    </row>
    <row r="10" spans="1:3" x14ac:dyDescent="0.25">
      <c r="A10" s="15" t="s">
        <v>7</v>
      </c>
      <c r="B10" s="16">
        <v>3470</v>
      </c>
      <c r="C10" s="16">
        <v>1</v>
      </c>
    </row>
    <row r="11" spans="1:3" x14ac:dyDescent="0.25">
      <c r="A11" s="17">
        <v>46059</v>
      </c>
      <c r="B11" s="16">
        <v>21000</v>
      </c>
      <c r="C11" s="16">
        <v>1</v>
      </c>
    </row>
    <row r="12" spans="1:3" x14ac:dyDescent="0.25">
      <c r="A12" s="17">
        <v>46240</v>
      </c>
      <c r="B12" s="16">
        <v>5430</v>
      </c>
      <c r="C12" s="16">
        <v>1</v>
      </c>
    </row>
    <row r="13" spans="1:3" x14ac:dyDescent="0.25">
      <c r="A13" s="15" t="s">
        <v>39</v>
      </c>
      <c r="B13" s="16">
        <v>238160</v>
      </c>
      <c r="C13" s="16"/>
    </row>
    <row r="14" spans="1:3" x14ac:dyDescent="0.25">
      <c r="A14" s="15" t="s">
        <v>40</v>
      </c>
      <c r="B14" s="16">
        <v>476320</v>
      </c>
      <c r="C14" s="16">
        <v>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2026-06-20T09:00:52Z</dcterms:created>
  <dcterms:modified xsi:type="dcterms:W3CDTF">2026-06-21T09:20:58Z</dcterms:modified>
</cp:coreProperties>
</file>